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tabSelected="1" zoomScale="80" zoomScaleNormal="80" workbookViewId="0">
      <selection activeCell="E1" sqref="E1"/>
    </sheetView>
  </sheetViews>
  <sheetFormatPr baseColWidth="8" defaultColWidth="8.77734375" defaultRowHeight="14.4"/>
  <cols>
    <col width="33.44140625" customWidth="1" style="10" min="1" max="1"/>
    <col width="35.21875" customWidth="1" style="4" min="2" max="2"/>
    <col width="29.44140625" customWidth="1" style="5" min="3" max="3"/>
    <col width="50.77734375" customWidth="1" style="4" min="4" max="4"/>
    <col width="26.109375" customWidth="1" style="6" min="5" max="5"/>
    <col width="17.21875" customWidth="1" style="2" min="6" max="6"/>
    <col width="8.77734375" customWidth="1" style="4" min="7" max="16384"/>
  </cols>
  <sheetData>
    <row r="1" ht="31.8" customHeight="1" thickBot="1">
      <c r="A1" s="7" t="inlineStr">
        <is>
          <t>DATE</t>
        </is>
      </c>
      <c r="B1" s="8" t="inlineStr">
        <is>
          <t>JUOP PARTNER</t>
        </is>
      </c>
      <c r="C1" s="7" t="inlineStr">
        <is>
          <t>INSPECTION REPORT DATE</t>
        </is>
      </c>
      <c r="D1" s="8" t="inlineStr">
        <is>
          <t>COVERAGE AREA</t>
        </is>
      </c>
      <c r="E1" s="9" t="inlineStr">
        <is>
          <t>NO. OF POLES/DOWNGUYS</t>
        </is>
      </c>
      <c r="F1" s="8" t="inlineStr">
        <is>
          <t>REMARKS</t>
        </is>
      </c>
    </row>
    <row r="2">
      <c r="A2" s="10" t="n">
        <v>45848</v>
      </c>
      <c r="B2" s="4" t="inlineStr">
        <is>
          <t>GLOBE TELECOM, INC.</t>
        </is>
      </c>
      <c r="C2" s="5">
        <f>DATEVALUE("6/9/2025")</f>
        <v/>
      </c>
      <c r="D2" s="4" t="inlineStr">
        <is>
          <t>Brgy. 4 &amp; Brgy. 12, Town of Balayan</t>
        </is>
      </c>
      <c r="E2" s="6" t="inlineStr">
        <is>
          <t>7/0</t>
        </is>
      </c>
      <c r="F2" s="2" t="inlineStr">
        <is>
          <t>GM No. 418-25</t>
        </is>
      </c>
    </row>
    <row r="3">
      <c r="A3" s="10" t="n">
        <v>45848</v>
      </c>
      <c r="B3" s="4" t="inlineStr">
        <is>
          <t>GLOBE TELECOM, INC.</t>
        </is>
      </c>
      <c r="C3" s="5">
        <f>DATEVALUE("2/28/2025")</f>
        <v/>
      </c>
      <c r="D3" s="4" t="inlineStr">
        <is>
          <t>Brgy. Banilad, Town of Nasugbu</t>
        </is>
      </c>
      <c r="E3" s="6" t="inlineStr">
        <is>
          <t>3/0</t>
        </is>
      </c>
      <c r="F3" s="2" t="inlineStr">
        <is>
          <t>GM No. 418-25</t>
        </is>
      </c>
    </row>
    <row r="4">
      <c r="A4" s="10" t="n">
        <v>45848</v>
      </c>
      <c r="B4" s="4" t="inlineStr">
        <is>
          <t>GLOBE TELECOM, INC.</t>
        </is>
      </c>
      <c r="C4" s="5">
        <f>DATEVALUE("1/31/2025")</f>
        <v/>
      </c>
      <c r="D4" s="4" t="inlineStr">
        <is>
          <t>Brgy. Sampaga, Town of Balayan</t>
        </is>
      </c>
      <c r="E4" s="6" t="inlineStr">
        <is>
          <t>5/2</t>
        </is>
      </c>
      <c r="F4" s="2" t="inlineStr">
        <is>
          <t>GM No. 418-25</t>
        </is>
      </c>
    </row>
    <row r="5">
      <c r="A5" s="10" t="n">
        <v>45818</v>
      </c>
      <c r="B5" s="4" t="inlineStr">
        <is>
          <t>GLOBE TELECOM, INC.</t>
        </is>
      </c>
      <c r="C5" s="5">
        <f>DATEVALUE("3/7/2025")</f>
        <v/>
      </c>
      <c r="D5" s="4" t="inlineStr">
        <is>
          <t>Brgy. Payapa Ilaya, Town of Lemery</t>
        </is>
      </c>
      <c r="E5" s="6" t="inlineStr">
        <is>
          <t>1/0</t>
        </is>
      </c>
      <c r="F5" s="2" t="inlineStr">
        <is>
          <t>GM No. 329-25</t>
        </is>
      </c>
    </row>
    <row r="6">
      <c r="A6" s="10" t="n">
        <v>45818</v>
      </c>
      <c r="B6" s="4" t="inlineStr">
        <is>
          <t>GLOBE TELECOM, INC.</t>
        </is>
      </c>
      <c r="C6" s="5">
        <f>DATEVALUE("2/28/2025")</f>
        <v/>
      </c>
      <c r="D6" s="4" t="inlineStr">
        <is>
          <t>Dela Salud St., Sangalang St., Marasigan St., City of Calaca</t>
        </is>
      </c>
      <c r="E6" s="6" t="inlineStr">
        <is>
          <t>15/14</t>
        </is>
      </c>
      <c r="F6" s="2" t="inlineStr">
        <is>
          <t>GM No. 329-25</t>
        </is>
      </c>
    </row>
    <row r="7">
      <c r="A7" s="10" t="n">
        <v>45818</v>
      </c>
      <c r="B7" s="4" t="inlineStr">
        <is>
          <t>GLOBE TELECOM, INC.</t>
        </is>
      </c>
      <c r="C7" s="5">
        <f>DATEVALUE("2/11/2025")</f>
        <v/>
      </c>
      <c r="D7" s="4" t="inlineStr">
        <is>
          <t>Brgy. Caloocan, Town of Balayan</t>
        </is>
      </c>
      <c r="E7" s="6" t="inlineStr">
        <is>
          <t>4/3</t>
        </is>
      </c>
      <c r="F7" s="2" t="inlineStr">
        <is>
          <t>GM No. 329-25</t>
        </is>
      </c>
    </row>
    <row r="8">
      <c r="A8" s="10" t="n">
        <v>45818</v>
      </c>
      <c r="B8" s="4" t="inlineStr">
        <is>
          <t>GLOBE TELECOM, INC.</t>
        </is>
      </c>
      <c r="C8" s="5">
        <f>DATEVALUE("1/31/2025")</f>
        <v/>
      </c>
      <c r="D8" s="4" t="inlineStr">
        <is>
          <t>Brgy. Navotas Town of Balayan</t>
        </is>
      </c>
      <c r="E8" s="6" t="inlineStr">
        <is>
          <t>4/1</t>
        </is>
      </c>
      <c r="F8" s="2" t="inlineStr">
        <is>
          <t>GM No. 329-25</t>
        </is>
      </c>
    </row>
    <row r="9">
      <c r="A9" s="10" t="n">
        <v>45818</v>
      </c>
      <c r="B9" s="4" t="inlineStr">
        <is>
          <t>CLARE CABLE TELEVISION</t>
        </is>
      </c>
      <c r="C9" s="5">
        <f>DATEVALUE("4/24/2025")</f>
        <v/>
      </c>
      <c r="D9" s="4" t="inlineStr">
        <is>
          <t>Brgy. Halang, Town of Taal</t>
        </is>
      </c>
      <c r="E9" s="6" t="inlineStr">
        <is>
          <t>7/1</t>
        </is>
      </c>
      <c r="F9" s="2" t="inlineStr">
        <is>
          <t>GM No. 316-25</t>
        </is>
      </c>
    </row>
    <row r="10">
      <c r="A10" s="10" t="n">
        <v>45818</v>
      </c>
      <c r="B10" s="4" t="inlineStr">
        <is>
          <t>CLARE CABLE TELEVISION</t>
        </is>
      </c>
      <c r="C10" s="5">
        <f>DATEVALUE("4/24/2025")</f>
        <v/>
      </c>
      <c r="D10" s="4" t="inlineStr">
        <is>
          <t>Brgy. Bangin, Town of Agoncillo</t>
        </is>
      </c>
      <c r="E10" s="6" t="inlineStr">
        <is>
          <t>28/0</t>
        </is>
      </c>
      <c r="F10" s="2" t="inlineStr">
        <is>
          <t>GM No. 316-25</t>
        </is>
      </c>
    </row>
    <row r="11">
      <c r="A11" s="10" t="n">
        <v>45818</v>
      </c>
      <c r="B11" s="4" t="inlineStr">
        <is>
          <t>CLARE CABLE TELEVISION</t>
        </is>
      </c>
      <c r="C11" s="5">
        <f>DATEVALUE("4/24/2025")</f>
        <v/>
      </c>
      <c r="D11" s="4" t="inlineStr">
        <is>
          <t>Brgy. Pamiga, Town of Agoncillo</t>
        </is>
      </c>
      <c r="E11" s="6" t="inlineStr">
        <is>
          <t>28/1</t>
        </is>
      </c>
      <c r="F11" s="2" t="inlineStr">
        <is>
          <t>GM No. 316-25</t>
        </is>
      </c>
    </row>
    <row r="12" ht="28.8" customHeight="1">
      <c r="A12" s="10" t="n">
        <v>45818</v>
      </c>
      <c r="B12" s="4" t="inlineStr">
        <is>
          <t>CLARE CABLE TELEVISION</t>
        </is>
      </c>
      <c r="C12" s="5">
        <f>DATEVALUE("4/24/2025")</f>
        <v/>
      </c>
      <c r="D12" s="4" t="inlineStr">
        <is>
          <t>Brgy. Sinturisan, Brgy. Calangay, Brgy. Poblacion, Brgy. Talang, Town of San Nicolas</t>
        </is>
      </c>
      <c r="E12" s="6" t="inlineStr">
        <is>
          <t>40/12</t>
        </is>
      </c>
      <c r="F12" s="2" t="inlineStr">
        <is>
          <t>GM No. 316-25</t>
        </is>
      </c>
    </row>
    <row r="13" ht="57.6" customHeight="1">
      <c r="A13" s="10" t="n">
        <v>45818</v>
      </c>
      <c r="B13" s="4" t="inlineStr">
        <is>
          <t>CLARE CABLE TELEVISION</t>
        </is>
      </c>
      <c r="C13" s="5">
        <f>DATEVALUE("4/24/2025")</f>
        <v/>
      </c>
      <c r="D13" s="1" t="inlineStr">
        <is>
          <t>Brgy. Pansipit, Brgy. Pook, Brgy. Poblacion, Brgy. Subic Ibaba, Brgy. Subic Ilaya, Brgy. Bangin, Brgy. Mabini, Brgy. Coral na Munti, Brgy. Poblacion, Brgy. Guitna, Brgy. Sto. Tomas to Brgy. Subic and Brgy. Panhulan, Town of Agoncillo</t>
        </is>
      </c>
      <c r="E13" s="6" t="inlineStr">
        <is>
          <t>164/24</t>
        </is>
      </c>
      <c r="F13" s="2" t="inlineStr">
        <is>
          <t>GM No. 316-25</t>
        </is>
      </c>
    </row>
    <row r="14">
      <c r="A14" s="10" t="n">
        <v>45818</v>
      </c>
      <c r="B14" s="4" t="inlineStr">
        <is>
          <t>GLOBE TELECOM, INC.</t>
        </is>
      </c>
      <c r="C14" s="5">
        <f>DATEVALUE("3/7/2025")</f>
        <v/>
      </c>
      <c r="D14" s="4" t="inlineStr">
        <is>
          <t>Brgy. Malapad na Bato, Town of Nasugbu</t>
        </is>
      </c>
      <c r="E14" s="6" t="inlineStr">
        <is>
          <t>4/0</t>
        </is>
      </c>
      <c r="F14" s="2" t="inlineStr">
        <is>
          <t>GM No. 330-25</t>
        </is>
      </c>
    </row>
    <row r="15">
      <c r="A15" s="10" t="n">
        <v>45785</v>
      </c>
      <c r="B15" s="4" t="inlineStr">
        <is>
          <t>GLOBE TELECOM, INC.</t>
        </is>
      </c>
      <c r="C15" s="5">
        <f>DATEVALUE("9/10/2024")</f>
        <v/>
      </c>
      <c r="D15" s="4" t="inlineStr">
        <is>
          <t>Brgy. Banilad, Town of Nasugbu</t>
        </is>
      </c>
      <c r="E15" s="6" t="inlineStr">
        <is>
          <t>7/0</t>
        </is>
      </c>
      <c r="F15" s="2" t="inlineStr">
        <is>
          <t>GM No. 255-25</t>
        </is>
      </c>
    </row>
    <row r="16">
      <c r="A16" s="10" t="n">
        <v>45785</v>
      </c>
      <c r="B16" s="4" t="inlineStr">
        <is>
          <t>GLOBE TELECOM, INC.</t>
        </is>
      </c>
      <c r="C16" s="5">
        <f>DATEVALUE("8/30/2024")</f>
        <v/>
      </c>
      <c r="D16" s="4" t="inlineStr">
        <is>
          <t>Brgy. Lanatan, Town of Balayan</t>
        </is>
      </c>
      <c r="E16" s="6" t="inlineStr">
        <is>
          <t>6/0</t>
        </is>
      </c>
      <c r="F16" s="2" t="inlineStr">
        <is>
          <t>GM No. 255-25</t>
        </is>
      </c>
    </row>
    <row r="17">
      <c r="A17" s="10" t="n">
        <v>45785</v>
      </c>
      <c r="B17" s="4" t="inlineStr">
        <is>
          <t>EATERNS COMMUNICATIONS TELECOM</t>
        </is>
      </c>
      <c r="C17" s="5">
        <f>DATEVALUE("3/5/2025")</f>
        <v/>
      </c>
      <c r="D17" s="4" t="inlineStr">
        <is>
          <t>Union Street and Progress Street, Town of Balayan</t>
        </is>
      </c>
      <c r="E17" s="6" t="inlineStr">
        <is>
          <t>12/2</t>
        </is>
      </c>
      <c r="F17" s="2" t="inlineStr">
        <is>
          <t>GM No. 254-25</t>
        </is>
      </c>
    </row>
    <row r="18">
      <c r="A18" s="10" t="n">
        <v>45785</v>
      </c>
      <c r="B18" s="4" t="inlineStr">
        <is>
          <t>GLOBE TELECOM, INC.</t>
        </is>
      </c>
      <c r="C18" s="5">
        <f>DATEVALUE("4/8/2025")</f>
        <v/>
      </c>
      <c r="D18" s="4" t="inlineStr">
        <is>
          <t>Brgy. Binubusan, Town of Lian</t>
        </is>
      </c>
      <c r="E18" s="6" t="inlineStr">
        <is>
          <t>22/11</t>
        </is>
      </c>
      <c r="F18" s="2" t="inlineStr">
        <is>
          <t>GM No. 253-25</t>
        </is>
      </c>
    </row>
    <row r="19">
      <c r="A19" s="10" t="n">
        <v>45785</v>
      </c>
      <c r="B19" s="4" t="inlineStr">
        <is>
          <t>GLOBE TELECOM, INC.</t>
        </is>
      </c>
      <c r="C19" s="5">
        <f>DATEVALUE("4/8/2025")</f>
        <v/>
      </c>
      <c r="D19" s="4" t="inlineStr">
        <is>
          <t>Brgy. Laguile, Town of Taal</t>
        </is>
      </c>
      <c r="E19" s="6" t="inlineStr">
        <is>
          <t>22/13</t>
        </is>
      </c>
      <c r="F19" s="2" t="inlineStr">
        <is>
          <t>GM No. 253-25</t>
        </is>
      </c>
    </row>
    <row r="20">
      <c r="A20" s="10" t="n">
        <v>45785</v>
      </c>
      <c r="B20" s="4" t="inlineStr">
        <is>
          <t>PLDT</t>
        </is>
      </c>
      <c r="C20" s="5">
        <f>DATEVALUE("2/14/2025")</f>
        <v/>
      </c>
      <c r="D20" s="4" t="inlineStr">
        <is>
          <t>Brgy. Bagong Pook, Town of Lian</t>
        </is>
      </c>
      <c r="E20" s="6" t="inlineStr">
        <is>
          <t>78/21</t>
        </is>
      </c>
      <c r="F20" s="2" t="inlineStr">
        <is>
          <t>GM No. 252-25</t>
        </is>
      </c>
    </row>
    <row r="21">
      <c r="A21" s="10" t="n">
        <v>45785</v>
      </c>
      <c r="B21" s="4" t="inlineStr">
        <is>
          <t>PLDT</t>
        </is>
      </c>
      <c r="C21" s="5">
        <f>DATEVALUE("2/14/2025")</f>
        <v/>
      </c>
      <c r="D21" s="4" t="inlineStr">
        <is>
          <t>Brgy. Cawit, Town of Taal</t>
        </is>
      </c>
      <c r="E21" s="6" t="inlineStr">
        <is>
          <t>20/11</t>
        </is>
      </c>
      <c r="F21" s="2" t="inlineStr">
        <is>
          <t>GM No. 252-25</t>
        </is>
      </c>
    </row>
    <row r="22" ht="28.8" customHeight="1">
      <c r="A22" s="10" t="n">
        <v>45785</v>
      </c>
      <c r="B22" s="4" t="inlineStr">
        <is>
          <t>PLDT</t>
        </is>
      </c>
      <c r="C22" s="5">
        <f>DATEVALUE("4/16/2025")</f>
        <v/>
      </c>
      <c r="D22" s="4" t="inlineStr">
        <is>
          <t>Illustre Avenue corner Calle P. Gomez St. Distric IV, Town of Lemery</t>
        </is>
      </c>
      <c r="E22" s="6" t="inlineStr">
        <is>
          <t>5/0</t>
        </is>
      </c>
      <c r="F22" s="2" t="inlineStr">
        <is>
          <t>GM No. 252-25</t>
        </is>
      </c>
    </row>
    <row r="23">
      <c r="A23" s="10" t="n">
        <v>45770</v>
      </c>
      <c r="B23" s="4" t="inlineStr">
        <is>
          <t>PLDT</t>
        </is>
      </c>
      <c r="C23" s="5">
        <f>DATEVALUE("2/14/2025")</f>
        <v/>
      </c>
      <c r="D23" s="4" t="inlineStr">
        <is>
          <t>Brgy. Cogunan, Town of Nasugbu</t>
        </is>
      </c>
      <c r="E23" s="6" t="inlineStr">
        <is>
          <t>14/8</t>
        </is>
      </c>
      <c r="F23" s="2" t="inlineStr">
        <is>
          <t>GM No. 194-25</t>
        </is>
      </c>
    </row>
    <row r="24">
      <c r="A24" s="10" t="n">
        <v>45770</v>
      </c>
      <c r="B24" s="4" t="inlineStr">
        <is>
          <t>PLDT</t>
        </is>
      </c>
      <c r="C24" s="5">
        <f>DATEVALUE("2/14/2025")</f>
        <v/>
      </c>
      <c r="D24" s="4" t="inlineStr">
        <is>
          <t>Brgy. Cawit, Town of Taal</t>
        </is>
      </c>
      <c r="E24" s="6" t="inlineStr">
        <is>
          <t>28/21</t>
        </is>
      </c>
      <c r="F24" s="2" t="inlineStr">
        <is>
          <t>GM No. 194-25</t>
        </is>
      </c>
    </row>
    <row r="25">
      <c r="A25" s="10" t="n">
        <v>45770</v>
      </c>
      <c r="B25" s="4" t="inlineStr">
        <is>
          <t>PLDT</t>
        </is>
      </c>
      <c r="C25" s="5">
        <f>DATEVALUE("2/14/2025")</f>
        <v/>
      </c>
      <c r="D25" s="4" t="inlineStr">
        <is>
          <t>Brgy. Luntal, Town of Tuy</t>
        </is>
      </c>
      <c r="E25" s="6" t="inlineStr">
        <is>
          <t>16/8</t>
        </is>
      </c>
      <c r="F25" s="2" t="inlineStr">
        <is>
          <t>GM No. 194-25</t>
        </is>
      </c>
    </row>
    <row r="26">
      <c r="A26" s="10" t="n">
        <v>45750</v>
      </c>
      <c r="B26" s="4" t="inlineStr">
        <is>
          <t>GLOBE TELECOM, INC.</t>
        </is>
      </c>
      <c r="C26" s="5">
        <f>DATEVALUE("2/11/2025")</f>
        <v/>
      </c>
      <c r="D26" s="4" t="inlineStr">
        <is>
          <t>Brgy. Matabungkay, Town of Lian</t>
        </is>
      </c>
      <c r="E26" s="6" t="inlineStr">
        <is>
          <t>3/0</t>
        </is>
      </c>
      <c r="F26" s="2" t="inlineStr">
        <is>
          <t>GM No. 169-25</t>
        </is>
      </c>
    </row>
    <row r="27">
      <c r="A27" s="10" t="n">
        <v>45750</v>
      </c>
      <c r="B27" s="4" t="inlineStr">
        <is>
          <t>GLOBE TELECOM, INC.</t>
        </is>
      </c>
      <c r="C27" s="5">
        <f>DATEVALUE("2/11/2025")</f>
        <v/>
      </c>
      <c r="D27" s="4" t="inlineStr">
        <is>
          <t>Brgy. 4 Poblacion, Town of Calaca</t>
        </is>
      </c>
      <c r="E27" s="6" t="inlineStr">
        <is>
          <t>12/0</t>
        </is>
      </c>
      <c r="F27" s="2" t="inlineStr">
        <is>
          <t>GM No. 169-25</t>
        </is>
      </c>
    </row>
    <row r="28">
      <c r="A28" s="10" t="n">
        <v>45750</v>
      </c>
      <c r="B28" s="4" t="inlineStr">
        <is>
          <t>GLOBE TELECOM, INC.</t>
        </is>
      </c>
      <c r="C28" s="5">
        <f>DATEVALUE("2/11/2025")</f>
        <v/>
      </c>
      <c r="D28" s="3" t="inlineStr">
        <is>
          <t>Brgy. Poblacion 1 &amp; Sta. Cruz Alitagtag, Town of Sta. Teresita</t>
        </is>
      </c>
      <c r="E28" s="6" t="inlineStr">
        <is>
          <t>3/0</t>
        </is>
      </c>
      <c r="F28" s="2" t="inlineStr">
        <is>
          <t>GM No. 169-25</t>
        </is>
      </c>
    </row>
    <row r="29">
      <c r="A29" s="10" t="n">
        <v>45742</v>
      </c>
      <c r="B29" s="4" t="inlineStr">
        <is>
          <t>PLDT</t>
        </is>
      </c>
      <c r="C29" s="5">
        <f>DATEVALUE("2/13/2025")</f>
        <v/>
      </c>
      <c r="D29" s="4" t="inlineStr">
        <is>
          <t>Brgy. Sabang, Town of Tuy</t>
        </is>
      </c>
      <c r="E29" s="6" t="inlineStr">
        <is>
          <t>38/26</t>
        </is>
      </c>
      <c r="F29" s="2" t="inlineStr">
        <is>
          <t>GM No. 166-25</t>
        </is>
      </c>
    </row>
    <row r="30">
      <c r="A30" s="10" t="n">
        <v>45742</v>
      </c>
      <c r="B30" s="4" t="inlineStr">
        <is>
          <t>PLDT</t>
        </is>
      </c>
      <c r="C30" s="5">
        <f>DATEVALUE("2/13/2025")</f>
        <v/>
      </c>
      <c r="D30" s="4" t="inlineStr">
        <is>
          <t>Brgy. Aga, Town of Nasugbu</t>
        </is>
      </c>
      <c r="E30" s="6" t="inlineStr">
        <is>
          <t>39/11</t>
        </is>
      </c>
      <c r="F30" s="2" t="inlineStr">
        <is>
          <t>GM No. 166-25</t>
        </is>
      </c>
    </row>
    <row r="31" ht="28.8" customHeight="1">
      <c r="A31" s="10" t="n">
        <v>45677</v>
      </c>
      <c r="B31" s="4" t="inlineStr">
        <is>
          <t>PLDT</t>
        </is>
      </c>
      <c r="C31" s="5">
        <f>DATEVALUE("10/21/2024")</f>
        <v/>
      </c>
      <c r="D31" s="4" t="inlineStr">
        <is>
          <t>Brgy. Maguihan, Sangalang, Poblacion, Palanas, Malinis, Town of Lemery</t>
        </is>
      </c>
      <c r="E31" s="6" t="inlineStr">
        <is>
          <t>41/0</t>
        </is>
      </c>
      <c r="F31" s="2" t="inlineStr">
        <is>
          <t>GM No. 17-25</t>
        </is>
      </c>
    </row>
    <row r="32">
      <c r="A32" s="10" t="n">
        <v>45677</v>
      </c>
      <c r="B32" s="4" t="inlineStr">
        <is>
          <t>PLDT</t>
        </is>
      </c>
      <c r="C32" s="5">
        <f>DATEVALUE("10/21/2024")</f>
        <v/>
      </c>
      <c r="D32" s="4" t="inlineStr">
        <is>
          <t>Brgy. Putingkahoy, Town of Nasugbu</t>
        </is>
      </c>
      <c r="E32" s="6" t="inlineStr">
        <is>
          <t>1/0</t>
        </is>
      </c>
      <c r="F32" s="2" t="inlineStr">
        <is>
          <t>GM No. 17-25</t>
        </is>
      </c>
    </row>
    <row r="33">
      <c r="A33" s="10" t="n">
        <v>45643</v>
      </c>
      <c r="B33" s="4" t="inlineStr">
        <is>
          <t>PLDT</t>
        </is>
      </c>
      <c r="C33" s="5">
        <f>DATEVALUE("8/19/2024")</f>
        <v/>
      </c>
      <c r="D33" s="4" t="inlineStr">
        <is>
          <t>Brgy. Baclas Town of Calaca</t>
        </is>
      </c>
      <c r="E33" s="6" t="inlineStr">
        <is>
          <t>32/16</t>
        </is>
      </c>
      <c r="F33" s="2" t="inlineStr">
        <is>
          <t>GM No. 720-24</t>
        </is>
      </c>
    </row>
    <row r="34">
      <c r="A34" s="10" t="n">
        <v>45643</v>
      </c>
      <c r="B34" s="4" t="inlineStr">
        <is>
          <t>PLDT</t>
        </is>
      </c>
      <c r="C34" s="5">
        <f>DATEVALUE("5/30/2024")</f>
        <v/>
      </c>
      <c r="D34" s="4" t="inlineStr">
        <is>
          <t>Brgy. Balimbing City of Calaca</t>
        </is>
      </c>
      <c r="E34" s="6" t="inlineStr">
        <is>
          <t>87/46</t>
        </is>
      </c>
      <c r="F34" s="2" t="inlineStr">
        <is>
          <t>GM No. 720-24</t>
        </is>
      </c>
    </row>
    <row r="35">
      <c r="A35" s="10" t="n">
        <v>45643</v>
      </c>
      <c r="B35" s="4" t="inlineStr">
        <is>
          <t>PLDT</t>
        </is>
      </c>
      <c r="C35" s="5">
        <f>DATEVALUE("5/3/2024")</f>
        <v/>
      </c>
      <c r="D35" s="4" t="inlineStr">
        <is>
          <t>Brgy. Butucan Town of Nasugbu</t>
        </is>
      </c>
      <c r="E35" s="6" t="inlineStr">
        <is>
          <t>45/23</t>
        </is>
      </c>
      <c r="F35" s="2" t="inlineStr">
        <is>
          <t>GM No. 720-24</t>
        </is>
      </c>
    </row>
    <row r="36">
      <c r="A36" s="10" t="n">
        <v>45643</v>
      </c>
      <c r="B36" s="4" t="inlineStr">
        <is>
          <t>PLDT</t>
        </is>
      </c>
      <c r="C36" s="5">
        <f>DATEVALUE("5/3/2024")</f>
        <v/>
      </c>
      <c r="D36" s="4" t="inlineStr">
        <is>
          <t>Brgy. Bulihan Town of Nasugbu</t>
        </is>
      </c>
      <c r="E36" s="6" t="inlineStr">
        <is>
          <t>66/24</t>
        </is>
      </c>
      <c r="F36" s="2" t="inlineStr">
        <is>
          <t>GM No. 720-24</t>
        </is>
      </c>
    </row>
    <row r="37" ht="61.05" customHeight="1">
      <c r="A37" s="10" t="n">
        <v>45643</v>
      </c>
      <c r="B37" s="4" t="inlineStr">
        <is>
          <t>PLDT</t>
        </is>
      </c>
      <c r="C37" s="5">
        <f>DATEVALUE("4/15/2024")</f>
        <v/>
      </c>
      <c r="D37" s="4" t="inlineStr">
        <is>
          <t>Brgy. Bambang City of Calaca</t>
        </is>
      </c>
      <c r="E37" s="6" t="inlineStr">
        <is>
          <t>52/40</t>
        </is>
      </c>
      <c r="F37" s="2" t="inlineStr">
        <is>
          <t>GM No. 720-24</t>
        </is>
      </c>
    </row>
    <row r="38">
      <c r="A38" s="10" t="n">
        <v>45643</v>
      </c>
      <c r="B38" s="4" t="inlineStr">
        <is>
          <t>PLDT</t>
        </is>
      </c>
      <c r="C38" s="5">
        <f>DATEVALUE("3/22/2024")</f>
        <v/>
      </c>
      <c r="D38" s="4" t="inlineStr">
        <is>
          <t>Brgy. Malalay Town of Balayan</t>
        </is>
      </c>
      <c r="E38" s="6" t="inlineStr">
        <is>
          <t>44/23</t>
        </is>
      </c>
      <c r="F38" s="2" t="inlineStr">
        <is>
          <t>GM No. 720-24</t>
        </is>
      </c>
    </row>
    <row r="39" ht="28.8" customHeight="1">
      <c r="A39" s="10" t="n">
        <v>45643</v>
      </c>
      <c r="B39" s="4" t="inlineStr">
        <is>
          <t>GLOBE TELECOM, INC.</t>
        </is>
      </c>
      <c r="C39" s="5">
        <f>DATEVALUE("2/12/2024")</f>
        <v/>
      </c>
      <c r="D39" s="4" t="inlineStr">
        <is>
          <t>Brgy. Tuyon-Tuyon, Brgy. Putol and Brgy. Guinhawa, Town of Tuy</t>
        </is>
      </c>
      <c r="E39" s="6" t="inlineStr">
        <is>
          <t>13/1</t>
        </is>
      </c>
      <c r="F39" s="2" t="inlineStr">
        <is>
          <t>GM No. 719-24</t>
        </is>
      </c>
    </row>
    <row r="40">
      <c r="A40" s="10" t="n">
        <v>45643</v>
      </c>
      <c r="B40" s="4" t="inlineStr">
        <is>
          <t>GLOBE TELECOM, INC.</t>
        </is>
      </c>
      <c r="C40" s="5">
        <f>DATEVALUE("2/12/2024")</f>
        <v/>
      </c>
      <c r="D40" s="4" t="inlineStr">
        <is>
          <t>Brgy. Bangin, Town of Agoncillo</t>
        </is>
      </c>
      <c r="E40" s="6" t="inlineStr">
        <is>
          <t>21/4</t>
        </is>
      </c>
      <c r="F40" s="2" t="inlineStr">
        <is>
          <t>GM No. 719-24</t>
        </is>
      </c>
    </row>
    <row r="41">
      <c r="A41" s="10" t="n">
        <v>45643</v>
      </c>
      <c r="B41" s="4" t="inlineStr">
        <is>
          <t>GLOBE TELECOM, INC.</t>
        </is>
      </c>
      <c r="C41" s="5">
        <f>DATEVALUE("11/7/2024")</f>
        <v/>
      </c>
      <c r="D41" s="4" t="inlineStr">
        <is>
          <t>Brgy. Lanatan, Town of Balayan</t>
        </is>
      </c>
      <c r="E41" s="6" t="inlineStr">
        <is>
          <t>10/0</t>
        </is>
      </c>
      <c r="F41" s="2" t="inlineStr">
        <is>
          <t>GM No. 719-24</t>
        </is>
      </c>
    </row>
    <row r="42">
      <c r="A42" s="10" t="n">
        <v>45531</v>
      </c>
      <c r="B42" s="4" t="inlineStr">
        <is>
          <t>PLDT</t>
        </is>
      </c>
      <c r="C42" s="5">
        <f>DATEVALUE("6/18/2024")</f>
        <v/>
      </c>
      <c r="D42" s="4" t="inlineStr">
        <is>
          <t>Brgy. Munting Indang Town of Nasugbu</t>
        </is>
      </c>
      <c r="E42" s="6" t="inlineStr">
        <is>
          <t>7/6</t>
        </is>
      </c>
      <c r="F42" s="2" t="inlineStr">
        <is>
          <t>GM No. 459-24</t>
        </is>
      </c>
    </row>
    <row r="43">
      <c r="A43" s="10" t="n">
        <v>45531</v>
      </c>
      <c r="B43" s="4" t="inlineStr">
        <is>
          <t>PLDT</t>
        </is>
      </c>
      <c r="C43" s="5">
        <f>DATEVALUE("6/18/2024")</f>
        <v/>
      </c>
      <c r="D43" s="4" t="inlineStr">
        <is>
          <t>Brgy. Munting Indang Town of Nasugbu</t>
        </is>
      </c>
      <c r="E43" s="6" t="inlineStr">
        <is>
          <t>92/15</t>
        </is>
      </c>
      <c r="F43" s="2" t="inlineStr">
        <is>
          <t>GM No. 459-24</t>
        </is>
      </c>
    </row>
    <row r="44">
      <c r="A44" s="10" t="n">
        <v>45478</v>
      </c>
      <c r="B44" s="4" t="inlineStr">
        <is>
          <t>PLDT</t>
        </is>
      </c>
      <c r="C44" s="5">
        <f>DATEVALUE("5/30/2024")</f>
        <v/>
      </c>
      <c r="D44" s="4" t="inlineStr">
        <is>
          <t>Brgy. Iba, Town of Taal</t>
        </is>
      </c>
      <c r="E44" s="6" t="inlineStr">
        <is>
          <t>134/8</t>
        </is>
      </c>
      <c r="F44" s="2" t="inlineStr">
        <is>
          <t>GM No. 376-24</t>
        </is>
      </c>
    </row>
    <row r="45">
      <c r="A45" s="10" t="n">
        <v>45478</v>
      </c>
      <c r="B45" s="4" t="inlineStr">
        <is>
          <t>PLDT</t>
        </is>
      </c>
      <c r="C45" s="5">
        <f>DATEVALUE("5/30/2024")</f>
        <v/>
      </c>
      <c r="D45" s="4" t="inlineStr">
        <is>
          <t>Waltermart Brgy. Caloocan, Town of Balayan</t>
        </is>
      </c>
      <c r="E45" s="6" t="inlineStr">
        <is>
          <t>2/0</t>
        </is>
      </c>
      <c r="F45" s="2" t="inlineStr">
        <is>
          <t>GM No. 375-24</t>
        </is>
      </c>
    </row>
    <row r="46">
      <c r="A46" s="10" t="n">
        <v>45440</v>
      </c>
      <c r="B46" s="4" t="inlineStr">
        <is>
          <t>PLDT</t>
        </is>
      </c>
      <c r="C46" s="5">
        <f>DATEVALUE("4/15/2024")</f>
        <v/>
      </c>
      <c r="D46" s="4" t="inlineStr">
        <is>
          <t>So. Laganap, Brgy. Pantay, City of Calaca</t>
        </is>
      </c>
      <c r="E46" s="6" t="inlineStr">
        <is>
          <t>17/5</t>
        </is>
      </c>
      <c r="F46" s="2" t="inlineStr">
        <is>
          <t>GM No. 289-24</t>
        </is>
      </c>
    </row>
    <row r="47">
      <c r="A47" s="10" t="n">
        <v>45440</v>
      </c>
      <c r="B47" s="4" t="inlineStr">
        <is>
          <t>PLDT</t>
        </is>
      </c>
      <c r="C47" s="5">
        <f>DATEVALUE("4/15/2024")</f>
        <v/>
      </c>
      <c r="D47" s="4" t="inlineStr">
        <is>
          <t>Brgy. Niogan, City of Calaca</t>
        </is>
      </c>
      <c r="E47" s="6" t="inlineStr">
        <is>
          <t>40/15</t>
        </is>
      </c>
      <c r="F47" s="2" t="inlineStr">
        <is>
          <t>GM No. 289-24</t>
        </is>
      </c>
    </row>
    <row r="48">
      <c r="A48" s="10" t="n">
        <v>45440</v>
      </c>
      <c r="B48" s="4" t="inlineStr">
        <is>
          <t>PLDT</t>
        </is>
      </c>
      <c r="C48" s="5">
        <f>DATEVALUE("4/15/2024")</f>
        <v/>
      </c>
      <c r="D48" s="4" t="inlineStr">
        <is>
          <t>Brgy. Dila, City of Calaca</t>
        </is>
      </c>
      <c r="E48" s="6" t="inlineStr">
        <is>
          <t>136/27</t>
        </is>
      </c>
      <c r="F48" s="2" t="inlineStr">
        <is>
          <t>GM No. 289-24</t>
        </is>
      </c>
    </row>
    <row r="49">
      <c r="A49" s="10" t="n">
        <v>45440</v>
      </c>
      <c r="B49" s="4" t="inlineStr">
        <is>
          <t>PLDT</t>
        </is>
      </c>
      <c r="C49" s="5">
        <f>DATEVALUE("4/15/2024")</f>
        <v/>
      </c>
      <c r="D49" s="4" t="inlineStr">
        <is>
          <t>Brgy. Timbain 2, City of Calaca</t>
        </is>
      </c>
      <c r="E49" s="6" t="inlineStr">
        <is>
          <t>50/15</t>
        </is>
      </c>
      <c r="F49" s="2" t="inlineStr">
        <is>
          <t>GM No. 289-24</t>
        </is>
      </c>
    </row>
    <row r="50">
      <c r="A50" s="10" t="n">
        <v>45440</v>
      </c>
      <c r="B50" s="4" t="inlineStr">
        <is>
          <t>PLDT</t>
        </is>
      </c>
      <c r="C50" s="5">
        <f>DATEVALUE("4/15/2024")</f>
        <v/>
      </c>
      <c r="D50" s="4" t="inlineStr">
        <is>
          <t>Brgy. Cutang Cawayan, Town of Sta. Teresita</t>
        </is>
      </c>
      <c r="E50" s="6" t="inlineStr">
        <is>
          <t>28/18</t>
        </is>
      </c>
      <c r="F50" s="2" t="inlineStr">
        <is>
          <t>GM No. 289-24</t>
        </is>
      </c>
    </row>
    <row r="51">
      <c r="A51" s="10" t="n">
        <v>45440</v>
      </c>
      <c r="B51" s="4" t="inlineStr">
        <is>
          <t>PLDT</t>
        </is>
      </c>
      <c r="C51" s="5">
        <f>DATEVALUE("4/15/2024")</f>
        <v/>
      </c>
      <c r="D51" s="4" t="inlineStr">
        <is>
          <t>Brgy. Magabe, Town of Balayan</t>
        </is>
      </c>
      <c r="E51" s="6" t="inlineStr">
        <is>
          <t>55/18</t>
        </is>
      </c>
      <c r="F51" s="2" t="inlineStr">
        <is>
          <t>GM No. 289-24</t>
        </is>
      </c>
    </row>
    <row r="52">
      <c r="A52" s="10" t="n">
        <v>45440</v>
      </c>
      <c r="B52" s="4" t="inlineStr">
        <is>
          <t>PLDT</t>
        </is>
      </c>
      <c r="C52" s="5">
        <f>DATEVALUE("4/15/2024")</f>
        <v/>
      </c>
      <c r="D52" s="4" t="inlineStr">
        <is>
          <t>Brgy. Lumbang na Bata, City of Calaca</t>
        </is>
      </c>
      <c r="E52" s="6" t="inlineStr">
        <is>
          <t>53/30</t>
        </is>
      </c>
      <c r="F52" s="2" t="inlineStr">
        <is>
          <t>GM No. 289-24</t>
        </is>
      </c>
    </row>
    <row r="53">
      <c r="A53" s="10" t="n">
        <v>45440</v>
      </c>
      <c r="B53" s="4" t="inlineStr">
        <is>
          <t>PLDT</t>
        </is>
      </c>
      <c r="C53" s="5">
        <f>DATEVALUE("4/15/2024")</f>
        <v/>
      </c>
      <c r="D53" s="4" t="inlineStr">
        <is>
          <t>Brgy. Bisaya, City of Calaca</t>
        </is>
      </c>
      <c r="E53" s="6" t="inlineStr">
        <is>
          <t>59/33</t>
        </is>
      </c>
      <c r="F53" s="2" t="inlineStr">
        <is>
          <t>GM No. 289-24</t>
        </is>
      </c>
    </row>
    <row r="54">
      <c r="A54" s="10" t="n">
        <v>45440</v>
      </c>
      <c r="B54" s="4" t="inlineStr">
        <is>
          <t>PLDT</t>
        </is>
      </c>
      <c r="C54" s="5">
        <f>DATEVALUE("4/15/2024")</f>
        <v/>
      </c>
      <c r="D54" s="4" t="inlineStr">
        <is>
          <t>Brgy. Maigsing Dahilig Town of Lemery</t>
        </is>
      </c>
      <c r="E54" s="6" t="inlineStr">
        <is>
          <t>33/14</t>
        </is>
      </c>
      <c r="F54" s="2" t="inlineStr">
        <is>
          <t>GM No. 289-24</t>
        </is>
      </c>
    </row>
    <row r="55">
      <c r="A55" s="10" t="n">
        <v>45440</v>
      </c>
      <c r="B55" s="4" t="inlineStr">
        <is>
          <t>PLDT</t>
        </is>
      </c>
      <c r="C55" s="5">
        <f>DATEVALUE("3/22/2024")</f>
        <v/>
      </c>
      <c r="D55" s="4" t="inlineStr">
        <is>
          <t>Brgy. Cayponce Town of Balayan</t>
        </is>
      </c>
      <c r="E55" s="6" t="inlineStr">
        <is>
          <t>59/31</t>
        </is>
      </c>
      <c r="F55" s="2" t="inlineStr">
        <is>
          <t>GM No. 289-24</t>
        </is>
      </c>
    </row>
    <row r="56">
      <c r="A56" s="10" t="n">
        <v>45433</v>
      </c>
      <c r="B56" s="4" t="inlineStr">
        <is>
          <t>PLDT</t>
        </is>
      </c>
      <c r="C56" s="5">
        <f>DATEVALUE("5/2/2024")</f>
        <v/>
      </c>
      <c r="D56" s="4" t="inlineStr">
        <is>
          <t>Brgy. Camastilisan City of Calaca</t>
        </is>
      </c>
      <c r="E56" s="6" t="inlineStr">
        <is>
          <t>53/19</t>
        </is>
      </c>
      <c r="F56" s="2" t="inlineStr">
        <is>
          <t>GM No. 276-24</t>
        </is>
      </c>
    </row>
    <row r="57">
      <c r="A57" s="10" t="n">
        <v>45433</v>
      </c>
      <c r="B57" s="4" t="inlineStr">
        <is>
          <t>PLDT</t>
        </is>
      </c>
      <c r="C57" s="5">
        <f>DATEVALUE("3/22/2024")</f>
        <v/>
      </c>
      <c r="D57" s="4" t="inlineStr">
        <is>
          <t>Brgy. Tactac, Town of Balayan</t>
        </is>
      </c>
      <c r="E57" s="6" t="inlineStr">
        <is>
          <t>24/17</t>
        </is>
      </c>
      <c r="F57" s="2" t="inlineStr">
        <is>
          <t>GM No. 276-24</t>
        </is>
      </c>
    </row>
    <row r="58">
      <c r="A58" s="10" t="n">
        <v>45433</v>
      </c>
      <c r="B58" s="4" t="inlineStr">
        <is>
          <t>PLDT</t>
        </is>
      </c>
      <c r="C58" s="5">
        <f>DATEVALUE("3/22/2024")</f>
        <v/>
      </c>
      <c r="D58" s="4" t="inlineStr">
        <is>
          <t>Molave Subdivision, Brgy. Sambat Town of Balayan</t>
        </is>
      </c>
      <c r="E58" s="6" t="inlineStr">
        <is>
          <t>21/17</t>
        </is>
      </c>
      <c r="F58" s="2" t="inlineStr">
        <is>
          <t>GM No. 276-24</t>
        </is>
      </c>
    </row>
    <row r="59">
      <c r="A59" s="10" t="n">
        <v>45428</v>
      </c>
      <c r="B59" s="4" t="inlineStr">
        <is>
          <t>GLOBE TELECOM, INC.</t>
        </is>
      </c>
      <c r="C59" s="5">
        <f>DATEVALUE("4/24/2024")</f>
        <v/>
      </c>
      <c r="D59" s="4" t="inlineStr">
        <is>
          <t>Brgy. Seiran Tatlong Maria Town of Taal</t>
        </is>
      </c>
      <c r="E59" s="6" t="inlineStr">
        <is>
          <t>26/1</t>
        </is>
      </c>
      <c r="F59" s="2" t="inlineStr">
        <is>
          <t>GM No. 272-24</t>
        </is>
      </c>
    </row>
    <row r="60">
      <c r="A60" s="10" t="n">
        <v>45398</v>
      </c>
      <c r="B60" s="4" t="inlineStr">
        <is>
          <t>PLDT</t>
        </is>
      </c>
      <c r="C60" s="5">
        <f>DATEVALUE("4/11/2024")</f>
        <v/>
      </c>
      <c r="D60" s="4" t="inlineStr">
        <is>
          <t>Brgy. Tubuan Town of Lemery</t>
        </is>
      </c>
      <c r="E60" s="6" t="inlineStr">
        <is>
          <t>106/0</t>
        </is>
      </c>
      <c r="F60" s="2" t="inlineStr">
        <is>
          <t>GM No. 250-24</t>
        </is>
      </c>
    </row>
    <row r="61">
      <c r="A61" s="10" t="n">
        <v>45398</v>
      </c>
      <c r="B61" s="4" t="inlineStr">
        <is>
          <t>PLDT</t>
        </is>
      </c>
      <c r="C61" s="5">
        <f>DATEVALUE("4/15/2024")</f>
        <v/>
      </c>
      <c r="D61" s="4" t="inlineStr">
        <is>
          <t>So. Ginting, Brgy. Arumahan Town of Lemery</t>
        </is>
      </c>
      <c r="E61" s="6" t="inlineStr">
        <is>
          <t>26/13</t>
        </is>
      </c>
      <c r="F61" s="2" t="inlineStr">
        <is>
          <t>GM No. 250-24</t>
        </is>
      </c>
    </row>
    <row r="62">
      <c r="A62" s="10" t="n">
        <v>45398</v>
      </c>
      <c r="B62" s="4" t="inlineStr">
        <is>
          <t>PLDT</t>
        </is>
      </c>
      <c r="C62" s="5">
        <f>DATEVALUE("4/5/2024")</f>
        <v/>
      </c>
      <c r="D62" s="4" t="inlineStr">
        <is>
          <t>So. Ibayiw Brgy. Arumahan, Town of Lemery</t>
        </is>
      </c>
      <c r="E62" s="6" t="inlineStr">
        <is>
          <t>40/3</t>
        </is>
      </c>
      <c r="F62" s="2" t="inlineStr">
        <is>
          <t>GM No. 204-24</t>
        </is>
      </c>
    </row>
    <row r="63">
      <c r="A63" s="10" t="n">
        <v>45398</v>
      </c>
      <c r="B63" s="4" t="inlineStr">
        <is>
          <t>PLDT</t>
        </is>
      </c>
      <c r="C63" s="5">
        <f>DATEVALUE("4/5/2024")</f>
        <v/>
      </c>
      <c r="D63" s="4" t="inlineStr">
        <is>
          <t>So. Ilaya and So. Ibaba Brgy. Bangin Town of Agoncillo</t>
        </is>
      </c>
      <c r="E63" s="6" t="inlineStr">
        <is>
          <t>36/3</t>
        </is>
      </c>
      <c r="F63" s="2" t="inlineStr">
        <is>
          <t>GM No. 204-24</t>
        </is>
      </c>
    </row>
    <row r="64">
      <c r="A64" s="10" t="n">
        <v>45398</v>
      </c>
      <c r="B64" s="4" t="inlineStr">
        <is>
          <t>PLDT</t>
        </is>
      </c>
      <c r="C64" s="5">
        <f>DATEVALUE("4/5/2024")</f>
        <v/>
      </c>
      <c r="D64" s="4" t="inlineStr">
        <is>
          <t>Brgy. Coral Ni Bacal, City of Calaca</t>
        </is>
      </c>
      <c r="E64" s="6" t="inlineStr">
        <is>
          <t>28/1</t>
        </is>
      </c>
      <c r="F64" s="2" t="inlineStr">
        <is>
          <t>GM No. 204-24</t>
        </is>
      </c>
    </row>
    <row r="65">
      <c r="A65" s="10" t="n">
        <v>45398</v>
      </c>
      <c r="B65" s="4" t="inlineStr">
        <is>
          <t>PLDT</t>
        </is>
      </c>
      <c r="C65" s="5">
        <f>DATEVALUE("4/5/2024")</f>
        <v/>
      </c>
      <c r="D65" s="4" t="inlineStr">
        <is>
          <t>Alegria Homes Brgy. Putting Bato, City of Calaca</t>
        </is>
      </c>
      <c r="E65" s="6" t="inlineStr">
        <is>
          <t>61/0</t>
        </is>
      </c>
      <c r="F65" s="2" t="inlineStr">
        <is>
          <t>GM No. 204-24</t>
        </is>
      </c>
    </row>
    <row r="66">
      <c r="A66" s="10" t="n">
        <v>45398</v>
      </c>
      <c r="B66" s="4" t="inlineStr">
        <is>
          <t>PLDT</t>
        </is>
      </c>
      <c r="C66" s="5">
        <f>DATEVALUE("4/5/2024")</f>
        <v/>
      </c>
      <c r="D66" s="4" t="inlineStr">
        <is>
          <t>Brgy. Mataas na Pulo, Town of Nasugbu</t>
        </is>
      </c>
      <c r="E66" s="6" t="inlineStr">
        <is>
          <t>35/0</t>
        </is>
      </c>
      <c r="F66" s="2" t="inlineStr">
        <is>
          <t>GM No. 204-24</t>
        </is>
      </c>
    </row>
    <row r="67">
      <c r="A67" s="10" t="n">
        <v>45398</v>
      </c>
      <c r="B67" s="4" t="inlineStr">
        <is>
          <t>PLDT</t>
        </is>
      </c>
      <c r="C67" s="5">
        <f>DATEVALUE("4/5/2024")</f>
        <v/>
      </c>
      <c r="D67" s="4" t="inlineStr">
        <is>
          <t>Brgy. San Teodoro, Town of Agoncillo</t>
        </is>
      </c>
      <c r="E67" s="6" t="inlineStr">
        <is>
          <t>14/0</t>
        </is>
      </c>
      <c r="F67" s="2" t="inlineStr">
        <is>
          <t>GM No. 204-24</t>
        </is>
      </c>
    </row>
    <row r="68">
      <c r="A68" s="10" t="n">
        <v>45398</v>
      </c>
      <c r="B68" s="4" t="inlineStr">
        <is>
          <t>PLDT</t>
        </is>
      </c>
      <c r="C68" s="5">
        <f>DATEVALUE("4/5/2024")</f>
        <v/>
      </c>
      <c r="D68" s="4" t="inlineStr">
        <is>
          <t>Brgy. Banyaga, Town of Agoncillo</t>
        </is>
      </c>
      <c r="E68" s="6" t="inlineStr">
        <is>
          <t>35/0</t>
        </is>
      </c>
      <c r="F68" s="2" t="inlineStr">
        <is>
          <t>GM No. 204-24</t>
        </is>
      </c>
    </row>
    <row r="69">
      <c r="A69" s="10" t="n">
        <v>45398</v>
      </c>
      <c r="B69" s="4" t="inlineStr">
        <is>
          <t>PLDT</t>
        </is>
      </c>
      <c r="C69" s="5">
        <f>DATEVALUE("4/5/2024")</f>
        <v/>
      </c>
      <c r="D69" s="4" t="inlineStr">
        <is>
          <t>Brgy. Baclas, City of Calaca</t>
        </is>
      </c>
      <c r="E69" s="6" t="inlineStr">
        <is>
          <t>29/0</t>
        </is>
      </c>
      <c r="F69" s="2" t="inlineStr">
        <is>
          <t>GM No. 204-24</t>
        </is>
      </c>
    </row>
    <row r="70">
      <c r="A70" s="10" t="n">
        <v>45398</v>
      </c>
      <c r="B70" s="4" t="inlineStr">
        <is>
          <t>PLDT</t>
        </is>
      </c>
      <c r="C70" s="5">
        <f>DATEVALUE("4/5/2024")</f>
        <v/>
      </c>
      <c r="D70" s="4" t="inlineStr">
        <is>
          <t>Brgy. Acle, Town of Tuy</t>
        </is>
      </c>
      <c r="E70" s="6" t="inlineStr">
        <is>
          <t>13/0</t>
        </is>
      </c>
      <c r="F70" s="2" t="inlineStr">
        <is>
          <t>GM No. 204-24</t>
        </is>
      </c>
    </row>
    <row r="71">
      <c r="A71" s="10" t="n">
        <v>45398</v>
      </c>
      <c r="B71" s="4" t="inlineStr">
        <is>
          <t>PLDT</t>
        </is>
      </c>
      <c r="C71" s="5">
        <f>DATEVALUE("4/5/2024")</f>
        <v/>
      </c>
      <c r="D71" s="4" t="inlineStr">
        <is>
          <t>Brgy. Caluangan, City of Calaca</t>
        </is>
      </c>
      <c r="E71" s="6" t="inlineStr">
        <is>
          <t>23/0</t>
        </is>
      </c>
      <c r="F71" s="2" t="inlineStr">
        <is>
          <t>GM No. 204-24</t>
        </is>
      </c>
    </row>
    <row r="72">
      <c r="A72" s="10" t="n">
        <v>45280</v>
      </c>
      <c r="B72" s="4" t="inlineStr">
        <is>
          <t>PLDT</t>
        </is>
      </c>
      <c r="C72" s="5">
        <f>DATEVALUE("11/21/2023")</f>
        <v/>
      </c>
      <c r="D72" s="4" t="inlineStr">
        <is>
          <t>Brgy. Makina, City of Calaca</t>
        </is>
      </c>
      <c r="E72" s="6" t="inlineStr">
        <is>
          <t>26/15</t>
        </is>
      </c>
      <c r="F72" s="2" t="inlineStr">
        <is>
          <t>GM No. 653-23</t>
        </is>
      </c>
    </row>
    <row r="73">
      <c r="A73" s="10" t="n">
        <v>45280</v>
      </c>
      <c r="B73" s="4" t="inlineStr">
        <is>
          <t>PLDT</t>
        </is>
      </c>
      <c r="C73" s="5">
        <f>DATEVALUE("11/21/2023")</f>
        <v/>
      </c>
      <c r="D73" s="4" t="inlineStr">
        <is>
          <t>Brgy. Matipok, City of Calaca</t>
        </is>
      </c>
      <c r="E73" s="6" t="inlineStr">
        <is>
          <t>83/40</t>
        </is>
      </c>
      <c r="F73" s="2" t="inlineStr">
        <is>
          <t>GM No. 653-23</t>
        </is>
      </c>
    </row>
    <row r="74">
      <c r="A74" s="10" t="n">
        <v>45280</v>
      </c>
      <c r="B74" s="4" t="inlineStr">
        <is>
          <t>PLDT</t>
        </is>
      </c>
      <c r="C74" s="5">
        <f>DATEVALUE("11/21/2023")</f>
        <v/>
      </c>
      <c r="D74" s="4" t="inlineStr">
        <is>
          <t>Pacifico Town of Sta. Teresita</t>
        </is>
      </c>
      <c r="E74" s="6" t="inlineStr">
        <is>
          <t>69/20</t>
        </is>
      </c>
      <c r="F74" s="2" t="inlineStr">
        <is>
          <t>GM No. 653-23</t>
        </is>
      </c>
    </row>
    <row r="75">
      <c r="A75" s="10" t="n">
        <v>45240</v>
      </c>
      <c r="B75" s="4" t="inlineStr">
        <is>
          <t>PLDT</t>
        </is>
      </c>
      <c r="C75" s="5">
        <f>DATEVALUE("10/18/2023")</f>
        <v/>
      </c>
      <c r="D75" s="4" t="inlineStr">
        <is>
          <t>Reaville Subdivision, Brgy. Cultihan, Town of Taal</t>
        </is>
      </c>
      <c r="E75" s="6" t="inlineStr">
        <is>
          <t>33/8</t>
        </is>
      </c>
      <c r="F75" s="2" t="inlineStr">
        <is>
          <t>GM No. 589-23</t>
        </is>
      </c>
    </row>
    <row r="76">
      <c r="A76" s="10" t="n">
        <v>45240</v>
      </c>
      <c r="B76" s="4" t="inlineStr">
        <is>
          <t>PLDT</t>
        </is>
      </c>
      <c r="C76" s="5">
        <f>DATEVALUE("10/18/2023")</f>
        <v/>
      </c>
      <c r="D76" s="4" t="inlineStr">
        <is>
          <t>Brgy. Lucban, Putol, Town of Balayan</t>
        </is>
      </c>
      <c r="E76" s="6" t="inlineStr">
        <is>
          <t>41/22</t>
        </is>
      </c>
      <c r="F76" s="2" t="inlineStr">
        <is>
          <t>GM No. 589-23</t>
        </is>
      </c>
    </row>
    <row r="77">
      <c r="A77" s="10" t="n">
        <v>45240</v>
      </c>
      <c r="B77" s="4" t="inlineStr">
        <is>
          <t>PLDT</t>
        </is>
      </c>
      <c r="C77" s="5">
        <f>DATEVALUE("10/18/2023")</f>
        <v/>
      </c>
      <c r="D77" s="4" t="inlineStr">
        <is>
          <t>Brgy. Pansipit, Town of Agoncillo</t>
        </is>
      </c>
      <c r="E77" s="6" t="inlineStr">
        <is>
          <t>40/24</t>
        </is>
      </c>
      <c r="F77" s="2" t="inlineStr">
        <is>
          <t>GM No. 589-23</t>
        </is>
      </c>
    </row>
    <row r="78">
      <c r="A78" s="10" t="n">
        <v>45240</v>
      </c>
      <c r="B78" s="4" t="inlineStr">
        <is>
          <t>PLDT</t>
        </is>
      </c>
      <c r="C78" s="5">
        <f>DATEVALUE("10/18/2023")</f>
        <v/>
      </c>
      <c r="D78" s="4" t="inlineStr">
        <is>
          <t>Brgy. Dita, Town of Lemery</t>
        </is>
      </c>
      <c r="E78" s="6" t="inlineStr">
        <is>
          <t>9/5</t>
        </is>
      </c>
      <c r="F78" s="2" t="inlineStr">
        <is>
          <t>GM No. 589-23</t>
        </is>
      </c>
    </row>
    <row r="79">
      <c r="A79" s="10" t="n">
        <v>45240</v>
      </c>
      <c r="B79" s="4" t="inlineStr">
        <is>
          <t>PLDT</t>
        </is>
      </c>
      <c r="C79" s="5">
        <f>DATEVALUE("10/18/2023")</f>
        <v/>
      </c>
      <c r="D79" s="4" t="inlineStr">
        <is>
          <t>Brgy. 5 to Brgy. 1 Poblacion, City of Calaca</t>
        </is>
      </c>
      <c r="E79" s="6" t="inlineStr">
        <is>
          <t>33/8</t>
        </is>
      </c>
      <c r="F79" s="2" t="inlineStr">
        <is>
          <t>GM No. 589-23</t>
        </is>
      </c>
    </row>
    <row r="80" ht="28.8" customHeight="1">
      <c r="A80" s="10" t="n">
        <v>45218</v>
      </c>
      <c r="B80" s="4" t="inlineStr">
        <is>
          <t>PLDT</t>
        </is>
      </c>
      <c r="C80" s="5">
        <f>DATEVALUE("10/16/2023")</f>
        <v/>
      </c>
      <c r="D80" s="4" t="inlineStr">
        <is>
          <t>Brgy. San Isidro Itaas, Payapa Ilaya and Payapa Ibaba, Town of Lemery</t>
        </is>
      </c>
      <c r="E80" s="6" t="inlineStr">
        <is>
          <t>123/28</t>
        </is>
      </c>
      <c r="F80" s="2" t="inlineStr">
        <is>
          <t>GM No. 551-22</t>
        </is>
      </c>
    </row>
    <row r="81" ht="28.8" customHeight="1">
      <c r="A81" s="10" t="n">
        <v>45218</v>
      </c>
      <c r="B81" s="4" t="inlineStr">
        <is>
          <t>PLDT</t>
        </is>
      </c>
      <c r="C81" s="5">
        <f>DATEVALUE("10/16/2023")</f>
        <v/>
      </c>
      <c r="D81" s="4" t="inlineStr">
        <is>
          <t>Poblacion 3, Poblacion 6, Poblacion 1, and Putting Kahoy, Town of Calaca</t>
        </is>
      </c>
      <c r="E81" s="6" t="inlineStr">
        <is>
          <t>87/31</t>
        </is>
      </c>
      <c r="F81" s="2" t="inlineStr">
        <is>
          <t>GM No. 551-22</t>
        </is>
      </c>
    </row>
    <row r="82">
      <c r="A82" s="10" t="n">
        <v>45203</v>
      </c>
      <c r="B82" s="4" t="inlineStr">
        <is>
          <t>PLDT</t>
        </is>
      </c>
      <c r="C82" s="5">
        <f>DATEVALUE("9/4/2023")</f>
        <v/>
      </c>
      <c r="D82" s="4" t="inlineStr">
        <is>
          <t>Aplaya Street, Brgy. Natipuan Town of Nasugbu</t>
        </is>
      </c>
      <c r="E82" s="6" t="inlineStr">
        <is>
          <t>42/0</t>
        </is>
      </c>
      <c r="F82" s="2" t="inlineStr">
        <is>
          <t>GM No. 499-22</t>
        </is>
      </c>
    </row>
    <row r="83">
      <c r="A83" s="10" t="n">
        <v>45203</v>
      </c>
      <c r="B83" s="4" t="inlineStr">
        <is>
          <t>PLDT</t>
        </is>
      </c>
      <c r="C83" s="5">
        <f>DATEVALUE("9/4/2023")</f>
        <v/>
      </c>
      <c r="D83" s="4" t="inlineStr">
        <is>
          <t>Brgy. Sta. Ana, Town of Calatagan</t>
        </is>
      </c>
      <c r="E83" s="6" t="inlineStr">
        <is>
          <t>32/3</t>
        </is>
      </c>
      <c r="F83" s="2" t="inlineStr">
        <is>
          <t>GM No. 499-22</t>
        </is>
      </c>
    </row>
    <row r="84">
      <c r="A84" s="10" t="n">
        <v>45189</v>
      </c>
      <c r="B84" s="4" t="inlineStr">
        <is>
          <t>GLOBE TELECOM, INC.</t>
        </is>
      </c>
      <c r="C84" s="5">
        <f>DATEVALUE("9/4/2023")</f>
        <v/>
      </c>
      <c r="D84" s="4" t="inlineStr">
        <is>
          <t>Brgy. Poblacion 1, Town of Sta. Teresita</t>
        </is>
      </c>
      <c r="E84" s="6" t="inlineStr">
        <is>
          <t>1/0</t>
        </is>
      </c>
      <c r="F84" s="2" t="inlineStr">
        <is>
          <t>GM No. 487-23</t>
        </is>
      </c>
    </row>
    <row r="85">
      <c r="A85" s="10" t="n">
        <v>45189</v>
      </c>
      <c r="B85" s="4" t="inlineStr">
        <is>
          <t>GLOBE TELECOM, INC.</t>
        </is>
      </c>
      <c r="C85" s="5">
        <f>DATEVALUE("9/6/2023")</f>
        <v/>
      </c>
      <c r="D85" s="4" t="inlineStr">
        <is>
          <t>Brgy. Palanas, Town of Lemery</t>
        </is>
      </c>
      <c r="E85" s="6" t="inlineStr">
        <is>
          <t>13/0</t>
        </is>
      </c>
      <c r="F85" s="2" t="inlineStr">
        <is>
          <t>GM No. 487-23</t>
        </is>
      </c>
    </row>
    <row r="86">
      <c r="A86" s="10" t="n">
        <v>45155</v>
      </c>
      <c r="B86" s="4" t="inlineStr">
        <is>
          <t>PLDT</t>
        </is>
      </c>
      <c r="C86" s="5">
        <f>DATEVALUE("8/10/2023")</f>
        <v/>
      </c>
      <c r="D86" s="4" t="inlineStr">
        <is>
          <t>ACM Subdivision. Brgy. 12 Town of Nasugbu</t>
        </is>
      </c>
      <c r="E86" s="6" t="inlineStr">
        <is>
          <t>29/3</t>
        </is>
      </c>
      <c r="F86" s="2" t="inlineStr">
        <is>
          <t>GM No. 432-22</t>
        </is>
      </c>
    </row>
    <row r="87">
      <c r="A87" s="10" t="n">
        <v>45148</v>
      </c>
      <c r="B87" s="4" t="inlineStr">
        <is>
          <t>GLOBE TELECOM, INC.</t>
        </is>
      </c>
      <c r="C87" s="5">
        <f>DATEVALUE("5/16/2023")</f>
        <v/>
      </c>
      <c r="D87" s="4" t="inlineStr">
        <is>
          <t>Ezperanza St., Poblacion Town of Balayan</t>
        </is>
      </c>
      <c r="E87" s="6" t="inlineStr">
        <is>
          <t>4/0</t>
        </is>
      </c>
      <c r="F87" s="2" t="inlineStr">
        <is>
          <t>GM No. 432-23</t>
        </is>
      </c>
    </row>
    <row r="88" ht="28.8" customHeight="1">
      <c r="A88" s="10" t="n">
        <v>45148</v>
      </c>
      <c r="B88" s="4" t="inlineStr">
        <is>
          <t>GLOBE TELECOM, INC.</t>
        </is>
      </c>
      <c r="C88" s="5">
        <f>DATEVALUE("5/16/2023")</f>
        <v/>
      </c>
      <c r="D88" s="4" t="inlineStr">
        <is>
          <t>Brgy. 11 (Poblacion) and Brgy. 10 (Poblacion) Town of Nasugbu</t>
        </is>
      </c>
      <c r="E88" s="6" t="inlineStr">
        <is>
          <t>6/0</t>
        </is>
      </c>
      <c r="F88" s="2" t="inlineStr">
        <is>
          <t>GM No. 432-23</t>
        </is>
      </c>
    </row>
    <row r="89">
      <c r="A89" s="10" t="n">
        <v>45148</v>
      </c>
      <c r="B89" s="4" t="inlineStr">
        <is>
          <t>GLOBE TELECOM, INC.</t>
        </is>
      </c>
      <c r="C89" s="5">
        <f>DATEVALUE("5/16/2023")</f>
        <v/>
      </c>
      <c r="D89" s="4" t="inlineStr">
        <is>
          <t>Brgy. Cuta Town of Sta. Teresita</t>
        </is>
      </c>
      <c r="E89" s="6" t="inlineStr">
        <is>
          <t>19/1</t>
        </is>
      </c>
      <c r="F89" s="2" t="inlineStr">
        <is>
          <t>GM No. 432-23</t>
        </is>
      </c>
    </row>
    <row r="90">
      <c r="A90" s="10" t="n">
        <v>45148</v>
      </c>
      <c r="B90" s="4" t="inlineStr">
        <is>
          <t>GLOBE TELECOM, INC.</t>
        </is>
      </c>
      <c r="C90" s="5">
        <f>DATEVALUE("5/16/2023")</f>
        <v/>
      </c>
      <c r="D90" s="4" t="inlineStr">
        <is>
          <t>Brgy. 10 (Poblacion) Town of Balayan</t>
        </is>
      </c>
      <c r="E90" s="6" t="inlineStr">
        <is>
          <t>7/0</t>
        </is>
      </c>
      <c r="F90" s="2" t="inlineStr">
        <is>
          <t>GM No. 432-23</t>
        </is>
      </c>
    </row>
    <row r="91">
      <c r="A91" s="10" t="n">
        <v>45141</v>
      </c>
      <c r="B91" s="4" t="inlineStr">
        <is>
          <t>EATERNS COMMUNICATIONS TELECOM</t>
        </is>
      </c>
      <c r="C91" s="5">
        <f>DATEVALUE("7/12/2023")</f>
        <v/>
      </c>
      <c r="D91" s="4" t="inlineStr">
        <is>
          <t>Sinisian North Road, Town of Calaca</t>
        </is>
      </c>
      <c r="E91" s="6" t="inlineStr">
        <is>
          <t>10/0</t>
        </is>
      </c>
      <c r="F91" s="2" t="inlineStr">
        <is>
          <t>GM No. 412-23</t>
        </is>
      </c>
    </row>
    <row r="92">
      <c r="A92" s="10" t="n">
        <v>45114</v>
      </c>
      <c r="B92" s="4" t="inlineStr">
        <is>
          <t>DITO TELECOMMUNITY CORP.</t>
        </is>
      </c>
      <c r="C92" s="5">
        <f>DATEVALUE("4/3/2023")</f>
        <v/>
      </c>
      <c r="D92" s="4" t="inlineStr">
        <is>
          <t>Brgy. Bangin Ilaya, Town of Agoncillo</t>
        </is>
      </c>
      <c r="E92" s="6" t="inlineStr">
        <is>
          <t>37/11</t>
        </is>
      </c>
      <c r="F92" s="2" t="inlineStr">
        <is>
          <t>GM No. 334-23</t>
        </is>
      </c>
    </row>
    <row r="93">
      <c r="A93" s="10" t="n">
        <v>45114</v>
      </c>
      <c r="B93" s="4" t="inlineStr">
        <is>
          <t>DITO TELECOMMUNITY CORP.</t>
        </is>
      </c>
      <c r="C93" s="5">
        <f>DATEVALUE("4/3/2023")</f>
        <v/>
      </c>
      <c r="D93" s="4" t="inlineStr">
        <is>
          <t>Brgy. Poblacion 1, Town of Sta. Teresita</t>
        </is>
      </c>
      <c r="E93" s="6" t="inlineStr">
        <is>
          <t>3/0</t>
        </is>
      </c>
      <c r="F93" s="2" t="inlineStr">
        <is>
          <t>GM No. 334-23</t>
        </is>
      </c>
    </row>
    <row r="94">
      <c r="A94" s="10" t="n">
        <v>45114</v>
      </c>
      <c r="B94" s="4" t="inlineStr">
        <is>
          <t>DITO TELECOMMUNITY CORP.</t>
        </is>
      </c>
      <c r="C94" s="5">
        <f>DATEVALUE("4/3/2023")</f>
        <v/>
      </c>
      <c r="D94" s="4" t="inlineStr">
        <is>
          <t>Brgy. Bagong Tubig, Town of San Luis</t>
        </is>
      </c>
      <c r="E94" s="6" t="inlineStr">
        <is>
          <t>3/2</t>
        </is>
      </c>
      <c r="F94" s="2" t="inlineStr">
        <is>
          <t>GM No. 334-23</t>
        </is>
      </c>
    </row>
    <row r="95">
      <c r="A95" s="10" t="n">
        <v>45114</v>
      </c>
      <c r="B95" s="4" t="inlineStr">
        <is>
          <t>DITO TELECOMMUNITY CORP.</t>
        </is>
      </c>
      <c r="C95" s="5">
        <f>DATEVALUE("5/16/2023")</f>
        <v/>
      </c>
      <c r="D95" s="4" t="inlineStr">
        <is>
          <t>Brgy. Poblacion 1, City of Calaca</t>
        </is>
      </c>
      <c r="E95" s="6" t="inlineStr">
        <is>
          <t>11/0</t>
        </is>
      </c>
      <c r="F95" s="2" t="inlineStr">
        <is>
          <t>GM No. 334-23</t>
        </is>
      </c>
    </row>
    <row r="96" ht="28.8" customHeight="1">
      <c r="A96" s="10" t="n">
        <v>45114</v>
      </c>
      <c r="B96" s="4" t="inlineStr">
        <is>
          <t>DITO TELECOMMUNITY CORP.</t>
        </is>
      </c>
      <c r="C96" s="5">
        <f>DATEVALUE("5/16/2023")</f>
        <v/>
      </c>
      <c r="D96" s="4" t="inlineStr">
        <is>
          <t>Brgy. District 1, Poblacion Town of Lemery, Brgy. Maguihan Town of Lemery and Brgy. Poblacion 4 Town of Lemery</t>
        </is>
      </c>
      <c r="E96" s="6" t="inlineStr">
        <is>
          <t>13/2</t>
        </is>
      </c>
      <c r="F96" s="2" t="inlineStr">
        <is>
          <t>GM No. 334-23</t>
        </is>
      </c>
    </row>
    <row r="97" ht="28.8" customHeight="1">
      <c r="A97" s="10" t="n">
        <v>45114</v>
      </c>
      <c r="B97" s="4" t="inlineStr">
        <is>
          <t>GLOBE TELECOM, INC.</t>
        </is>
      </c>
      <c r="C97" s="5">
        <f>DATEVALUE("4/13/2023")</f>
        <v/>
      </c>
      <c r="D97" s="4" t="inlineStr">
        <is>
          <t>Brgy. Bucal Town of Lemery and Brgy. Nonong Casto Town of Lemery</t>
        </is>
      </c>
      <c r="E97" s="6" t="inlineStr">
        <is>
          <t>2/0</t>
        </is>
      </c>
      <c r="F97" s="2" t="inlineStr">
        <is>
          <t>GM No. 333-23</t>
        </is>
      </c>
    </row>
    <row r="98">
      <c r="A98" s="10" t="n">
        <v>45114</v>
      </c>
      <c r="B98" s="4" t="inlineStr">
        <is>
          <t>GLOBE TELECOM, INC.</t>
        </is>
      </c>
      <c r="C98" s="5">
        <f>DATEVALUE("4/24/2023")</f>
        <v/>
      </c>
      <c r="D98" s="4" t="inlineStr">
        <is>
          <t>Brgy. Latag, Town of Taal</t>
        </is>
      </c>
      <c r="E98" s="6" t="inlineStr">
        <is>
          <t>4/2</t>
        </is>
      </c>
      <c r="F98" s="2" t="inlineStr">
        <is>
          <t>GM No. 333-23</t>
        </is>
      </c>
    </row>
    <row r="99">
      <c r="A99" s="10" t="n">
        <v>45114</v>
      </c>
      <c r="B99" s="4" t="inlineStr">
        <is>
          <t>GLOBE TELECOM, INC.</t>
        </is>
      </c>
      <c r="C99" s="5">
        <f>DATEVALUE("4/25/2023")</f>
        <v/>
      </c>
      <c r="D99" s="4" t="inlineStr">
        <is>
          <t>Brgy. Nonong Casto Town of Lemery</t>
        </is>
      </c>
      <c r="E99" s="6" t="inlineStr">
        <is>
          <t>1/0</t>
        </is>
      </c>
      <c r="F99" s="2" t="inlineStr">
        <is>
          <t>GM No. 333-23</t>
        </is>
      </c>
    </row>
    <row r="100" ht="43.2" customHeight="1">
      <c r="A100" s="10" t="n">
        <v>45114</v>
      </c>
      <c r="B100" s="4" t="inlineStr">
        <is>
          <t>GLOBE TELECOM, INC.</t>
        </is>
      </c>
      <c r="C100" s="5">
        <f>DATEVALUE("5/31/2023")</f>
        <v/>
      </c>
      <c r="D100" s="4" t="inlineStr">
        <is>
          <t>Paz St. Town of Balayan, Palikpikan St. Town of Balayan, Union St. Town of Balayan and Plaza Mabini St. Town of Balayam</t>
        </is>
      </c>
      <c r="E100" s="6" t="inlineStr">
        <is>
          <t>8/0</t>
        </is>
      </c>
      <c r="F100" s="2" t="inlineStr">
        <is>
          <t>GM No. 333-23</t>
        </is>
      </c>
    </row>
    <row r="101">
      <c r="A101" s="10" t="n">
        <v>44987</v>
      </c>
      <c r="B101" s="4" t="inlineStr">
        <is>
          <t>DITO TELECOMMUNITY CORP.</t>
        </is>
      </c>
      <c r="C101" s="5">
        <f>DATEVALUE("10/21/2022")</f>
        <v/>
      </c>
      <c r="D101" s="4" t="inlineStr">
        <is>
          <t>Mahayahay, Town of Lemery to Sta. Teresita</t>
        </is>
      </c>
      <c r="E101" s="6" t="inlineStr">
        <is>
          <t>135/9</t>
        </is>
      </c>
      <c r="F101" s="2" t="inlineStr">
        <is>
          <t>GM No. 109-22</t>
        </is>
      </c>
    </row>
    <row r="102" ht="28.8" customHeight="1">
      <c r="A102" s="10" t="n">
        <v>44987</v>
      </c>
      <c r="B102" s="4" t="inlineStr">
        <is>
          <t>DITO TELECOMMUNITY CORP.</t>
        </is>
      </c>
      <c r="C102" s="5">
        <f>DATEVALUE("10/21/2022")</f>
        <v/>
      </c>
      <c r="D102" s="4" t="inlineStr">
        <is>
          <t>Mahayahay, Town of Lemery to Brgy. Wawa, Town of Nasugbu</t>
        </is>
      </c>
      <c r="E102" s="6" t="inlineStr">
        <is>
          <t>250/6</t>
        </is>
      </c>
      <c r="F102" s="2" t="inlineStr">
        <is>
          <t>GM No. 109-22</t>
        </is>
      </c>
    </row>
    <row r="103" ht="28.8" customHeight="1">
      <c r="A103" s="10" t="n">
        <v>44987</v>
      </c>
      <c r="B103" s="4" t="inlineStr">
        <is>
          <t>DITO TELECOMMUNITY CORP.</t>
        </is>
      </c>
      <c r="C103" s="5">
        <f>DATEVALUE("10/21/2022")</f>
        <v/>
      </c>
      <c r="D103" s="4" t="inlineStr">
        <is>
          <t>Brgy. Muzon, Town of San Luis and Brgy. Mayahay, Town of Lemery</t>
        </is>
      </c>
      <c r="E103" s="6" t="inlineStr">
        <is>
          <t>161/19</t>
        </is>
      </c>
      <c r="F103" s="2" t="inlineStr">
        <is>
          <t>GM No. 109-22</t>
        </is>
      </c>
    </row>
    <row r="104">
      <c r="A104" s="10" t="n">
        <v>44987</v>
      </c>
      <c r="B104" s="4" t="inlineStr">
        <is>
          <t>DITO TELECOMMUNITY CORP.</t>
        </is>
      </c>
      <c r="C104" s="5">
        <f>DATEVALUE("1/11/2022")</f>
        <v/>
      </c>
      <c r="D104" s="4" t="inlineStr">
        <is>
          <t>Brgy. Sanggalang, Town of Lemery</t>
        </is>
      </c>
      <c r="E104" s="6" t="inlineStr">
        <is>
          <t>11/0</t>
        </is>
      </c>
      <c r="F104" s="2" t="inlineStr">
        <is>
          <t>GM No. 109-22</t>
        </is>
      </c>
    </row>
    <row r="105" ht="28.8" customHeight="1">
      <c r="A105" s="10" t="n">
        <v>44987</v>
      </c>
      <c r="B105" s="4" t="inlineStr">
        <is>
          <t>DITO TELECOMMUNITY CORP.</t>
        </is>
      </c>
      <c r="C105" s="5">
        <f>DATEVALUE("1/11/2022")</f>
        <v/>
      </c>
      <c r="D105" s="4" t="inlineStr">
        <is>
          <t>Brgy. Buboy, Brgy. Luya, Brgy. Banoyo, Brgy. Bagong Tubig, Brgy. Dulangan, and Brgy. Poblacion, Town of San Luis</t>
        </is>
      </c>
      <c r="E105" s="6" t="inlineStr">
        <is>
          <t>102/22</t>
        </is>
      </c>
      <c r="F105" s="2" t="inlineStr">
        <is>
          <t>GM No. 109-22</t>
        </is>
      </c>
    </row>
    <row r="106">
      <c r="A106" s="10" t="n">
        <v>44987</v>
      </c>
      <c r="B106" s="4" t="inlineStr">
        <is>
          <t>DITO TELECOMMUNITY CORP.</t>
        </is>
      </c>
      <c r="C106" s="5">
        <f>DATEVALUE("1/11/2022")</f>
        <v/>
      </c>
      <c r="D106" s="4" t="inlineStr">
        <is>
          <t>Brgy. Sambal Ilaya, Town of Lemery</t>
        </is>
      </c>
      <c r="E106" s="6" t="inlineStr">
        <is>
          <t>12/3</t>
        </is>
      </c>
      <c r="F106" s="2" t="inlineStr">
        <is>
          <t>GM No. 109-22</t>
        </is>
      </c>
    </row>
    <row r="107">
      <c r="A107" s="10" t="n">
        <v>44987</v>
      </c>
      <c r="B107" s="4" t="inlineStr">
        <is>
          <t>DITO TELECOMMUNITY CORP.</t>
        </is>
      </c>
      <c r="C107" s="5">
        <f>DATEVALUE("1/11/2022")</f>
        <v/>
      </c>
      <c r="D107" s="4" t="inlineStr">
        <is>
          <t>Brgy. Bukal, Town of Lemery</t>
        </is>
      </c>
      <c r="E107" s="6" t="inlineStr">
        <is>
          <t>4/0</t>
        </is>
      </c>
      <c r="F107" s="2" t="inlineStr">
        <is>
          <t>GM No. 109-22</t>
        </is>
      </c>
    </row>
    <row r="108">
      <c r="A108" t="inlineStr">
        <is>
          <t>06/01/2026</t>
        </is>
      </c>
      <c r="B108" t="inlineStr">
        <is>
          <t>Gconnect</t>
        </is>
      </c>
      <c r="C108" t="inlineStr">
        <is>
          <t>06/01/2026</t>
        </is>
      </c>
      <c r="D108" t="inlineStr">
        <is>
          <t>Agoncillo</t>
        </is>
      </c>
      <c r="E108" t="inlineStr">
        <is>
          <t>5/2</t>
        </is>
      </c>
      <c r="F108" t="inlineStr">
        <is>
          <t>GM-9837</t>
        </is>
      </c>
    </row>
    <row r="109">
      <c r="A109" t="inlineStr">
        <is>
          <t>06/01/2026</t>
        </is>
      </c>
      <c r="B109" t="inlineStr">
        <is>
          <t>sdjaskd</t>
        </is>
      </c>
      <c r="C109" t="inlineStr">
        <is>
          <t>06/01/2026</t>
        </is>
      </c>
      <c r="D109" t="inlineStr">
        <is>
          <t>Balayan</t>
        </is>
      </c>
      <c r="E109" t="inlineStr">
        <is>
          <t>4/0</t>
        </is>
      </c>
      <c r="F109" t="inlineStr">
        <is>
          <t>GM-6868</t>
        </is>
      </c>
    </row>
    <row r="110">
      <c r="A110" t="inlineStr">
        <is>
          <t>06/01/2026</t>
        </is>
      </c>
      <c r="B110" t="inlineStr">
        <is>
          <t>sdjaskd</t>
        </is>
      </c>
      <c r="C110" t="inlineStr">
        <is>
          <t>06/01/2026</t>
        </is>
      </c>
      <c r="D110" t="inlineStr">
        <is>
          <t>Balayan</t>
        </is>
      </c>
      <c r="E110" t="inlineStr">
        <is>
          <t>4/0</t>
        </is>
      </c>
      <c r="F110" t="inlineStr">
        <is>
          <t>GM-6868</t>
        </is>
      </c>
    </row>
    <row r="111">
      <c r="A111" t="inlineStr">
        <is>
          <t>06/01/2026</t>
        </is>
      </c>
      <c r="C111" t="inlineStr">
        <is>
          <t>06/01/2026</t>
        </is>
      </c>
      <c r="E111" t="inlineStr">
        <is>
          <t>0/0</t>
        </is>
      </c>
      <c r="F111" t="inlineStr">
        <is>
          <t>GM-</t>
        </is>
      </c>
    </row>
    <row r="112">
      <c r="A112" t="inlineStr">
        <is>
          <t>06/01/2026</t>
        </is>
      </c>
      <c r="B112" t="inlineStr">
        <is>
          <t>qweqwa</t>
        </is>
      </c>
      <c r="C112" t="inlineStr">
        <is>
          <t>06/01/2026</t>
        </is>
      </c>
      <c r="D112" t="inlineStr">
        <is>
          <t>da;fdjeld</t>
        </is>
      </c>
      <c r="E112" t="inlineStr">
        <is>
          <t>4/4</t>
        </is>
      </c>
      <c r="F112" t="inlineStr">
        <is>
          <t>GM-435638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Yaya</dc:creator>
  <dcterms:created xsi:type="dcterms:W3CDTF">2026-05-14T06:51:04Z</dcterms:created>
  <dcterms:modified xsi:type="dcterms:W3CDTF">2026-06-01T08:40:58Z</dcterms:modified>
  <cp:lastModifiedBy>John Mark</cp:lastModifiedBy>
</cp:coreProperties>
</file>